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IТМО\1. Учеба\0. НИР\НИР-2\"/>
    </mc:Choice>
  </mc:AlternateContent>
  <xr:revisionPtr revIDLastSave="0" documentId="13_ncr:1_{5F02861D-5A51-44B9-A31F-8AFE5F2C928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Табл" sheetId="1" r:id="rId1"/>
    <sheet name="Огры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</calcChain>
</file>

<file path=xl/sharedStrings.xml><?xml version="1.0" encoding="utf-8"?>
<sst xmlns="http://schemas.openxmlformats.org/spreadsheetml/2006/main" count="152" uniqueCount="99">
  <si>
    <t>id</t>
  </si>
  <si>
    <t>element_name</t>
  </si>
  <si>
    <t>qgis_layer_name</t>
  </si>
  <si>
    <t>utility_connection</t>
  </si>
  <si>
    <t>uds_access_type</t>
  </si>
  <si>
    <t>height_attr</t>
  </si>
  <si>
    <t>dc_building</t>
  </si>
  <si>
    <t>element_name_ru</t>
  </si>
  <si>
    <t>Здание ЦОД</t>
  </si>
  <si>
    <t>КПП</t>
  </si>
  <si>
    <t>Топливохранилище</t>
  </si>
  <si>
    <t>Тротуары</t>
  </si>
  <si>
    <t>Ограждение</t>
  </si>
  <si>
    <t>doc_reference</t>
  </si>
  <si>
    <t>kpp</t>
  </si>
  <si>
    <t>site_fence</t>
  </si>
  <si>
    <t>internal_roads</t>
  </si>
  <si>
    <t>pedestrian_walkways</t>
  </si>
  <si>
    <t>entry_point_uds</t>
  </si>
  <si>
    <t>POLYGON</t>
  </si>
  <si>
    <t>fuel_complex</t>
  </si>
  <si>
    <t xml:space="preserve">Электроподстанция </t>
  </si>
  <si>
    <t>parking</t>
  </si>
  <si>
    <t>buffer_m</t>
  </si>
  <si>
    <t>power_substation_gpp</t>
  </si>
  <si>
    <t>Парковка (машиномест)</t>
  </si>
  <si>
    <t>LINESTRING</t>
  </si>
  <si>
    <t>POINT</t>
  </si>
  <si>
    <t>Тчк подключ. к УДС</t>
  </si>
  <si>
    <t>calc_method</t>
  </si>
  <si>
    <t>by_power</t>
  </si>
  <si>
    <t>by_dc_area</t>
  </si>
  <si>
    <t>Внутренние дороги</t>
  </si>
  <si>
    <t>Ограничения</t>
  </si>
  <si>
    <t>Парковки: минимальное по СП 113.13330.2023 5,3*2,5 (без учета МГН: 6,0*3,6м = 10% парково, не далее 50м от входа т.д.т.п уклон не &gt; 1:50.)</t>
  </si>
  <si>
    <t>Heavy_Truck</t>
  </si>
  <si>
    <t>turn_radius_m</t>
  </si>
  <si>
    <t>ЦОД строим на земельных участках, НЕ подверженных риску затопления в период половодья или паводков (исключая пункт 5.15)</t>
  </si>
  <si>
    <t>Не учитываем п. 5.14 про сбор и хранение отходов</t>
  </si>
  <si>
    <t>Среднеарифметическая стойка = 5 кВт</t>
  </si>
  <si>
    <t>ЭТАЖНОСТЬ убирается, т.к. расчёт слишком сложный</t>
  </si>
  <si>
    <t>Каналы ввода = константа 2 (т.к. это не сами кабели, а инж. Коридоры (трассы), т.е. кабелей по ним может пройти больше</t>
  </si>
  <si>
    <t>entry_point_telecom_A</t>
  </si>
  <si>
    <t>entry_point_telecom_B</t>
  </si>
  <si>
    <t xml:space="preserve">пожарные гидранты не проектируются </t>
  </si>
  <si>
    <t>entry_point_water</t>
  </si>
  <si>
    <t>теплоснабжение отсутствует, т.к. по 9.1.1. из сп 541.1325800.2024 "При отсутствии возможности подключения к централизованным сетям ресурсоснабжающих организаций допускается устройство автономных источников.", займемся рекуперацией тепла</t>
  </si>
  <si>
    <t>Тчк подключ. Водоснабжения</t>
  </si>
  <si>
    <t>непонятные буферы: разобраться</t>
  </si>
  <si>
    <t>geometry_type</t>
  </si>
  <si>
    <t>floors_max</t>
  </si>
  <si>
    <t>absolute</t>
  </si>
  <si>
    <t>area_calc_logic</t>
  </si>
  <si>
    <t>perimeter</t>
  </si>
  <si>
    <t>width = 6 m</t>
  </si>
  <si>
    <t>width = 1,5 m</t>
  </si>
  <si>
    <t>Координата въезда на участок</t>
  </si>
  <si>
    <t>Координата ввода связи А</t>
  </si>
  <si>
    <t>Координата ввода связи Б</t>
  </si>
  <si>
    <t>Координата ввода воды</t>
  </si>
  <si>
    <t>Координата ввода энергии</t>
  </si>
  <si>
    <t>S = Sцод*0,1</t>
  </si>
  <si>
    <t>S=Sцод*0,05</t>
  </si>
  <si>
    <t>S=50 m2</t>
  </si>
  <si>
    <t>По границе кадастра</t>
  </si>
  <si>
    <t>Power, Water, IT</t>
  </si>
  <si>
    <t>Fuel</t>
  </si>
  <si>
    <t>Power</t>
  </si>
  <si>
    <t>Power, IT</t>
  </si>
  <si>
    <t>None</t>
  </si>
  <si>
    <t>IT</t>
  </si>
  <si>
    <t>Water</t>
  </si>
  <si>
    <t>Light_Car</t>
  </si>
  <si>
    <t>СП 541.1325800.2024 п.5.5, п. 6.2.6
СП 4.13130.2013 п 6.1</t>
  </si>
  <si>
    <t>СП 4.13130.2013 п. 6.4.4, табл. 4</t>
  </si>
  <si>
    <t>п. 6.1.5 СП 4.13130.2013 п. 6.1.5, табл. 3 / ПУЭ</t>
  </si>
  <si>
    <t>СП 42.13330.2016 п. 11.10</t>
  </si>
  <si>
    <t>СП 42.13330.2016 табл. 11.23</t>
  </si>
  <si>
    <t>Пост. Правительства РФ № 458</t>
  </si>
  <si>
    <t xml:space="preserve"> СП 42.13330, СП 4.13130.2013 п. 8.6</t>
  </si>
  <si>
    <t>СП 42.13330.2016 п. 11.13</t>
  </si>
  <si>
    <t>ГОСТ Р 52748-2007 / СНиП 2.05.02</t>
  </si>
  <si>
    <t>ПУЭ разд 4</t>
  </si>
  <si>
    <t>СП 541.1325800.2024 п. 9.1.1</t>
  </si>
  <si>
    <t>linear_buffer</t>
  </si>
  <si>
    <t>S = Мощность(кВт)*0,9</t>
  </si>
  <si>
    <t>Мин кВт = 250, мин Sцод= 24м2</t>
  </si>
  <si>
    <t>СП 541.1325800.2024 п. 6.3.2</t>
  </si>
  <si>
    <t xml:space="preserve">Тчк подключ. к электросетям (1) </t>
  </si>
  <si>
    <t>Тчк подключ. к электросетям (2)</t>
  </si>
  <si>
    <t>Тчк подключ. энергии (1)</t>
  </si>
  <si>
    <t>Тчк подключ. Энергии (2)</t>
  </si>
  <si>
    <t>entry_point_power_A</t>
  </si>
  <si>
    <t>entry_point_power_B</t>
  </si>
  <si>
    <t>01_buildings_layer</t>
  </si>
  <si>
    <t>04_restrictions_layer</t>
  </si>
  <si>
    <t>03_infrastructure_layer</t>
  </si>
  <si>
    <t>02_transport_layer</t>
  </si>
  <si>
    <t>area_coef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</si>
</sst>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6D89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6D89"/>
      <color rgb="FFD000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zoomScale="75" zoomScaleNormal="75" workbookViewId="0">
      <selection activeCell="S17" sqref="S17"/>
    </sheetView>
  </sheetViews>
  <sheetFormatPr defaultRowHeight="10.5" x14ac:dyDescent="0.35"/>
  <cols>
    <col min="1" max="1" width="2.6328125" style="3" bestFit="1" customWidth="1"/>
    <col min="2" max="2" width="17.81640625" style="4" bestFit="1" customWidth="1"/>
    <col min="3" max="3" width="24.1796875" style="5" bestFit="1" customWidth="1"/>
    <col min="4" max="4" width="11.36328125" style="3" bestFit="1" customWidth="1"/>
    <col min="5" max="5" width="5.26953125" style="3" bestFit="1" customWidth="1"/>
    <col min="6" max="6" width="6.453125" style="1" bestFit="1" customWidth="1"/>
    <col min="7" max="7" width="10.1796875" style="3" bestFit="1" customWidth="1"/>
    <col min="8" max="8" width="7" style="3" bestFit="1" customWidth="1"/>
    <col min="9" max="9" width="19.26953125" style="11" bestFit="1" customWidth="1"/>
    <col min="10" max="10" width="8.08984375" style="11" bestFit="1" customWidth="1"/>
    <col min="11" max="11" width="10.7265625" style="3" bestFit="1" customWidth="1"/>
    <col min="12" max="12" width="6.6328125" style="3" bestFit="1" customWidth="1"/>
    <col min="13" max="13" width="7.36328125" style="3" bestFit="1" customWidth="1"/>
    <col min="14" max="14" width="17.81640625" style="3" bestFit="1" customWidth="1"/>
    <col min="15" max="15" width="29.08984375" style="11" bestFit="1" customWidth="1"/>
    <col min="16" max="16384" width="8.7265625" style="3"/>
  </cols>
  <sheetData>
    <row r="1" spans="1:15" s="2" customFormat="1" ht="39" x14ac:dyDescent="0.35">
      <c r="A1" s="13" t="s">
        <v>0</v>
      </c>
      <c r="B1" s="13" t="s">
        <v>1</v>
      </c>
      <c r="C1" s="13" t="s">
        <v>7</v>
      </c>
      <c r="D1" s="13" t="s">
        <v>49</v>
      </c>
      <c r="E1" s="13" t="s">
        <v>50</v>
      </c>
      <c r="F1" s="13" t="s">
        <v>23</v>
      </c>
      <c r="G1" s="13" t="s">
        <v>29</v>
      </c>
      <c r="H1" s="13" t="s">
        <v>98</v>
      </c>
      <c r="I1" s="13" t="s">
        <v>52</v>
      </c>
      <c r="J1" s="13" t="s">
        <v>3</v>
      </c>
      <c r="K1" s="13" t="s">
        <v>4</v>
      </c>
      <c r="L1" s="13" t="s">
        <v>36</v>
      </c>
      <c r="M1" s="13" t="s">
        <v>5</v>
      </c>
      <c r="N1" s="13" t="s">
        <v>2</v>
      </c>
      <c r="O1" s="13" t="s">
        <v>13</v>
      </c>
    </row>
    <row r="2" spans="1:15" s="2" customFormat="1" ht="52" x14ac:dyDescent="0.35">
      <c r="A2" s="14">
        <v>1</v>
      </c>
      <c r="B2" s="15" t="s">
        <v>6</v>
      </c>
      <c r="C2" s="16" t="s">
        <v>8</v>
      </c>
      <c r="D2" s="17" t="s">
        <v>19</v>
      </c>
      <c r="E2" s="18">
        <v>1</v>
      </c>
      <c r="F2" s="19">
        <v>15</v>
      </c>
      <c r="G2" s="14" t="s">
        <v>30</v>
      </c>
      <c r="H2" s="19">
        <v>0.9</v>
      </c>
      <c r="I2" s="20" t="s">
        <v>85</v>
      </c>
      <c r="J2" s="20" t="s">
        <v>65</v>
      </c>
      <c r="K2" s="14" t="s">
        <v>72</v>
      </c>
      <c r="L2" s="14">
        <v>0</v>
      </c>
      <c r="M2" s="19">
        <v>12</v>
      </c>
      <c r="N2" s="17" t="s">
        <v>94</v>
      </c>
      <c r="O2" s="16" t="s">
        <v>73</v>
      </c>
    </row>
    <row r="3" spans="1:15" s="2" customFormat="1" ht="39" x14ac:dyDescent="0.35">
      <c r="A3" s="14">
        <f>A2+1</f>
        <v>2</v>
      </c>
      <c r="B3" s="15" t="s">
        <v>24</v>
      </c>
      <c r="C3" s="16" t="s">
        <v>21</v>
      </c>
      <c r="D3" s="17" t="s">
        <v>19</v>
      </c>
      <c r="E3" s="18">
        <v>1</v>
      </c>
      <c r="F3" s="19">
        <v>10</v>
      </c>
      <c r="G3" s="14" t="s">
        <v>31</v>
      </c>
      <c r="H3" s="19">
        <v>0.5</v>
      </c>
      <c r="I3" s="20" t="s">
        <v>61</v>
      </c>
      <c r="J3" s="20" t="s">
        <v>66</v>
      </c>
      <c r="K3" s="14" t="s">
        <v>35</v>
      </c>
      <c r="L3" s="14">
        <v>0</v>
      </c>
      <c r="M3" s="19">
        <v>6</v>
      </c>
      <c r="N3" s="17" t="s">
        <v>94</v>
      </c>
      <c r="O3" s="16" t="s">
        <v>75</v>
      </c>
    </row>
    <row r="4" spans="1:15" s="2" customFormat="1" ht="26" x14ac:dyDescent="0.35">
      <c r="A4" s="14">
        <f t="shared" ref="A4:A11" si="0">A3+1</f>
        <v>3</v>
      </c>
      <c r="B4" s="15" t="s">
        <v>20</v>
      </c>
      <c r="C4" s="16" t="s">
        <v>10</v>
      </c>
      <c r="D4" s="17" t="s">
        <v>19</v>
      </c>
      <c r="E4" s="18">
        <v>1</v>
      </c>
      <c r="F4" s="19">
        <v>6</v>
      </c>
      <c r="G4" s="14" t="s">
        <v>31</v>
      </c>
      <c r="H4" s="19">
        <v>0.1</v>
      </c>
      <c r="I4" s="20" t="s">
        <v>62</v>
      </c>
      <c r="J4" s="20" t="s">
        <v>67</v>
      </c>
      <c r="K4" s="14" t="s">
        <v>72</v>
      </c>
      <c r="L4" s="14">
        <v>15</v>
      </c>
      <c r="M4" s="19">
        <v>4</v>
      </c>
      <c r="N4" s="17" t="s">
        <v>94</v>
      </c>
      <c r="O4" s="16" t="s">
        <v>74</v>
      </c>
    </row>
    <row r="5" spans="1:15" s="2" customFormat="1" ht="26" x14ac:dyDescent="0.35">
      <c r="A5" s="14">
        <f t="shared" si="0"/>
        <v>4</v>
      </c>
      <c r="B5" s="15" t="s">
        <v>14</v>
      </c>
      <c r="C5" s="16" t="s">
        <v>9</v>
      </c>
      <c r="D5" s="17" t="s">
        <v>19</v>
      </c>
      <c r="E5" s="18">
        <v>1</v>
      </c>
      <c r="F5" s="19">
        <v>5</v>
      </c>
      <c r="G5" s="14" t="s">
        <v>51</v>
      </c>
      <c r="H5" s="19">
        <v>50</v>
      </c>
      <c r="I5" s="20" t="s">
        <v>63</v>
      </c>
      <c r="J5" s="20" t="s">
        <v>68</v>
      </c>
      <c r="K5" s="14" t="s">
        <v>35</v>
      </c>
      <c r="L5" s="14">
        <v>15</v>
      </c>
      <c r="M5" s="19">
        <v>4</v>
      </c>
      <c r="N5" s="17" t="s">
        <v>94</v>
      </c>
      <c r="O5" s="16" t="s">
        <v>76</v>
      </c>
    </row>
    <row r="6" spans="1:15" s="2" customFormat="1" ht="26" x14ac:dyDescent="0.35">
      <c r="A6" s="14">
        <f t="shared" si="0"/>
        <v>5</v>
      </c>
      <c r="B6" s="15" t="s">
        <v>22</v>
      </c>
      <c r="C6" s="16" t="s">
        <v>25</v>
      </c>
      <c r="D6" s="17" t="s">
        <v>19</v>
      </c>
      <c r="E6" s="18">
        <v>0</v>
      </c>
      <c r="F6" s="19">
        <v>10</v>
      </c>
      <c r="G6" s="14" t="s">
        <v>31</v>
      </c>
      <c r="H6" s="19">
        <v>0.5</v>
      </c>
      <c r="I6" s="20" t="s">
        <v>62</v>
      </c>
      <c r="J6" s="20" t="s">
        <v>69</v>
      </c>
      <c r="K6" s="14" t="s">
        <v>35</v>
      </c>
      <c r="L6" s="14">
        <v>0</v>
      </c>
      <c r="M6" s="19">
        <v>0</v>
      </c>
      <c r="N6" s="17" t="s">
        <v>94</v>
      </c>
      <c r="O6" s="16" t="s">
        <v>77</v>
      </c>
    </row>
    <row r="7" spans="1:15" s="2" customFormat="1" ht="26" x14ac:dyDescent="0.35">
      <c r="A7" s="14">
        <f t="shared" si="0"/>
        <v>6</v>
      </c>
      <c r="B7" s="15" t="s">
        <v>15</v>
      </c>
      <c r="C7" s="16" t="s">
        <v>12</v>
      </c>
      <c r="D7" s="17" t="s">
        <v>26</v>
      </c>
      <c r="E7" s="18">
        <v>1</v>
      </c>
      <c r="F7" s="19">
        <v>0</v>
      </c>
      <c r="G7" s="14" t="s">
        <v>53</v>
      </c>
      <c r="H7" s="19">
        <v>0</v>
      </c>
      <c r="I7" s="20" t="s">
        <v>64</v>
      </c>
      <c r="J7" s="20" t="s">
        <v>69</v>
      </c>
      <c r="K7" s="14" t="s">
        <v>69</v>
      </c>
      <c r="L7" s="14">
        <v>0</v>
      </c>
      <c r="M7" s="19">
        <v>2.5</v>
      </c>
      <c r="N7" s="17" t="s">
        <v>95</v>
      </c>
      <c r="O7" s="16" t="s">
        <v>78</v>
      </c>
    </row>
    <row r="8" spans="1:15" s="2" customFormat="1" ht="26" x14ac:dyDescent="0.35">
      <c r="A8" s="14">
        <f t="shared" si="0"/>
        <v>7</v>
      </c>
      <c r="B8" s="15" t="s">
        <v>17</v>
      </c>
      <c r="C8" s="16" t="s">
        <v>11</v>
      </c>
      <c r="D8" s="17" t="s">
        <v>26</v>
      </c>
      <c r="E8" s="18">
        <v>0</v>
      </c>
      <c r="F8" s="19">
        <v>0</v>
      </c>
      <c r="G8" s="14" t="s">
        <v>84</v>
      </c>
      <c r="H8" s="19">
        <v>1.5</v>
      </c>
      <c r="I8" s="20" t="s">
        <v>55</v>
      </c>
      <c r="J8" s="20" t="s">
        <v>69</v>
      </c>
      <c r="K8" s="14" t="s">
        <v>69</v>
      </c>
      <c r="L8" s="14">
        <v>0</v>
      </c>
      <c r="M8" s="19">
        <v>0</v>
      </c>
      <c r="N8" s="17" t="s">
        <v>97</v>
      </c>
      <c r="O8" s="16" t="s">
        <v>80</v>
      </c>
    </row>
    <row r="9" spans="1:15" s="2" customFormat="1" ht="26" x14ac:dyDescent="0.35">
      <c r="A9" s="14">
        <f t="shared" si="0"/>
        <v>8</v>
      </c>
      <c r="B9" s="15" t="s">
        <v>16</v>
      </c>
      <c r="C9" s="16" t="s">
        <v>32</v>
      </c>
      <c r="D9" s="17" t="s">
        <v>26</v>
      </c>
      <c r="E9" s="18">
        <v>0</v>
      </c>
      <c r="F9" s="19">
        <v>0</v>
      </c>
      <c r="G9" s="14" t="s">
        <v>84</v>
      </c>
      <c r="H9" s="19">
        <v>6</v>
      </c>
      <c r="I9" s="20" t="s">
        <v>54</v>
      </c>
      <c r="J9" s="20" t="s">
        <v>69</v>
      </c>
      <c r="K9" s="14" t="s">
        <v>35</v>
      </c>
      <c r="L9" s="14">
        <v>15</v>
      </c>
      <c r="M9" s="19">
        <v>0</v>
      </c>
      <c r="N9" s="17" t="s">
        <v>97</v>
      </c>
      <c r="O9" s="16" t="s">
        <v>79</v>
      </c>
    </row>
    <row r="10" spans="1:15" s="2" customFormat="1" ht="39" x14ac:dyDescent="0.35">
      <c r="A10" s="14">
        <f t="shared" si="0"/>
        <v>9</v>
      </c>
      <c r="B10" s="15" t="s">
        <v>18</v>
      </c>
      <c r="C10" s="16" t="s">
        <v>28</v>
      </c>
      <c r="D10" s="17" t="s">
        <v>27</v>
      </c>
      <c r="E10" s="18">
        <v>0</v>
      </c>
      <c r="F10" s="19">
        <v>0</v>
      </c>
      <c r="G10" s="14" t="s">
        <v>51</v>
      </c>
      <c r="H10" s="19">
        <v>0</v>
      </c>
      <c r="I10" s="20" t="s">
        <v>56</v>
      </c>
      <c r="J10" s="20" t="s">
        <v>69</v>
      </c>
      <c r="K10" s="14" t="s">
        <v>35</v>
      </c>
      <c r="L10" s="14">
        <v>15</v>
      </c>
      <c r="M10" s="19">
        <v>0</v>
      </c>
      <c r="N10" s="17" t="s">
        <v>96</v>
      </c>
      <c r="O10" s="16" t="s">
        <v>81</v>
      </c>
    </row>
    <row r="11" spans="1:15" s="2" customFormat="1" ht="39" x14ac:dyDescent="0.35">
      <c r="A11" s="14">
        <f t="shared" si="0"/>
        <v>10</v>
      </c>
      <c r="B11" s="15" t="s">
        <v>42</v>
      </c>
      <c r="C11" s="16" t="s">
        <v>88</v>
      </c>
      <c r="D11" s="17" t="s">
        <v>27</v>
      </c>
      <c r="E11" s="18">
        <v>0</v>
      </c>
      <c r="F11" s="19">
        <v>0</v>
      </c>
      <c r="G11" s="14" t="s">
        <v>51</v>
      </c>
      <c r="H11" s="19">
        <v>0</v>
      </c>
      <c r="I11" s="20" t="s">
        <v>57</v>
      </c>
      <c r="J11" s="20" t="s">
        <v>70</v>
      </c>
      <c r="K11" s="14" t="s">
        <v>69</v>
      </c>
      <c r="L11" s="14">
        <v>0</v>
      </c>
      <c r="M11" s="19">
        <v>0</v>
      </c>
      <c r="N11" s="17" t="s">
        <v>96</v>
      </c>
      <c r="O11" s="16" t="s">
        <v>87</v>
      </c>
    </row>
    <row r="12" spans="1:15" ht="39" x14ac:dyDescent="0.35">
      <c r="A12" s="14">
        <f>A11+1</f>
        <v>11</v>
      </c>
      <c r="B12" s="15" t="s">
        <v>43</v>
      </c>
      <c r="C12" s="16" t="s">
        <v>89</v>
      </c>
      <c r="D12" s="17" t="s">
        <v>27</v>
      </c>
      <c r="E12" s="18">
        <v>0</v>
      </c>
      <c r="F12" s="19">
        <v>0</v>
      </c>
      <c r="G12" s="14" t="s">
        <v>51</v>
      </c>
      <c r="H12" s="19">
        <v>0</v>
      </c>
      <c r="I12" s="20" t="s">
        <v>58</v>
      </c>
      <c r="J12" s="20" t="s">
        <v>70</v>
      </c>
      <c r="K12" s="14" t="s">
        <v>69</v>
      </c>
      <c r="L12" s="14">
        <v>0</v>
      </c>
      <c r="M12" s="19">
        <v>0</v>
      </c>
      <c r="N12" s="17" t="s">
        <v>96</v>
      </c>
      <c r="O12" s="16" t="s">
        <v>87</v>
      </c>
    </row>
    <row r="13" spans="1:15" ht="39" x14ac:dyDescent="0.35">
      <c r="A13" s="14">
        <f>A12+1</f>
        <v>12</v>
      </c>
      <c r="B13" s="15" t="s">
        <v>92</v>
      </c>
      <c r="C13" s="16" t="s">
        <v>90</v>
      </c>
      <c r="D13" s="17" t="s">
        <v>27</v>
      </c>
      <c r="E13" s="18">
        <v>0</v>
      </c>
      <c r="F13" s="19">
        <v>0</v>
      </c>
      <c r="G13" s="14" t="s">
        <v>51</v>
      </c>
      <c r="H13" s="19">
        <v>0</v>
      </c>
      <c r="I13" s="20" t="s">
        <v>60</v>
      </c>
      <c r="J13" s="20" t="s">
        <v>67</v>
      </c>
      <c r="K13" s="14" t="s">
        <v>69</v>
      </c>
      <c r="L13" s="14">
        <v>0</v>
      </c>
      <c r="M13" s="19">
        <v>0</v>
      </c>
      <c r="N13" s="17" t="s">
        <v>96</v>
      </c>
      <c r="O13" s="20" t="s">
        <v>82</v>
      </c>
    </row>
    <row r="14" spans="1:15" ht="39" x14ac:dyDescent="0.35">
      <c r="A14" s="14">
        <f>A13+1</f>
        <v>13</v>
      </c>
      <c r="B14" s="15" t="s">
        <v>93</v>
      </c>
      <c r="C14" s="16" t="s">
        <v>91</v>
      </c>
      <c r="D14" s="17" t="s">
        <v>27</v>
      </c>
      <c r="E14" s="18">
        <v>0</v>
      </c>
      <c r="F14" s="19">
        <v>0</v>
      </c>
      <c r="G14" s="14" t="s">
        <v>51</v>
      </c>
      <c r="H14" s="19">
        <v>0</v>
      </c>
      <c r="I14" s="20" t="s">
        <v>60</v>
      </c>
      <c r="J14" s="20" t="s">
        <v>67</v>
      </c>
      <c r="K14" s="14" t="s">
        <v>69</v>
      </c>
      <c r="L14" s="14">
        <v>0</v>
      </c>
      <c r="M14" s="19">
        <v>0</v>
      </c>
      <c r="N14" s="17" t="s">
        <v>96</v>
      </c>
      <c r="O14" s="20" t="s">
        <v>82</v>
      </c>
    </row>
    <row r="15" spans="1:15" ht="26" x14ac:dyDescent="0.35">
      <c r="A15" s="14">
        <f>A14+1</f>
        <v>14</v>
      </c>
      <c r="B15" s="15" t="s">
        <v>45</v>
      </c>
      <c r="C15" s="16" t="s">
        <v>47</v>
      </c>
      <c r="D15" s="17" t="s">
        <v>27</v>
      </c>
      <c r="E15" s="18">
        <v>0</v>
      </c>
      <c r="F15" s="19">
        <v>0</v>
      </c>
      <c r="G15" s="14" t="s">
        <v>51</v>
      </c>
      <c r="H15" s="19">
        <v>0</v>
      </c>
      <c r="I15" s="20" t="s">
        <v>59</v>
      </c>
      <c r="J15" s="20" t="s">
        <v>71</v>
      </c>
      <c r="K15" s="14" t="s">
        <v>69</v>
      </c>
      <c r="L15" s="14">
        <v>0</v>
      </c>
      <c r="M15" s="19">
        <v>0</v>
      </c>
      <c r="N15" s="17" t="s">
        <v>96</v>
      </c>
      <c r="O15" s="16" t="s">
        <v>83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D76EF-5A73-4F86-959E-C7A79E9C12AF}">
  <dimension ref="A1:B11"/>
  <sheetViews>
    <sheetView workbookViewId="0">
      <selection activeCell="B19" sqref="B19"/>
    </sheetView>
  </sheetViews>
  <sheetFormatPr defaultRowHeight="9.5" x14ac:dyDescent="0.25"/>
  <cols>
    <col min="1" max="1" width="8.7265625" style="6"/>
    <col min="2" max="2" width="46.6328125" style="7" customWidth="1"/>
    <col min="3" max="16384" width="8.7265625" style="6"/>
  </cols>
  <sheetData>
    <row r="1" spans="1:2" x14ac:dyDescent="0.25">
      <c r="A1" s="8" t="s">
        <v>33</v>
      </c>
      <c r="B1" s="9"/>
    </row>
    <row r="2" spans="1:2" ht="19" x14ac:dyDescent="0.25">
      <c r="A2" s="6">
        <v>1</v>
      </c>
      <c r="B2" s="7" t="s">
        <v>34</v>
      </c>
    </row>
    <row r="3" spans="1:2" ht="19" x14ac:dyDescent="0.25">
      <c r="A3" s="6">
        <v>2</v>
      </c>
      <c r="B3" s="10" t="s">
        <v>37</v>
      </c>
    </row>
    <row r="4" spans="1:2" x14ac:dyDescent="0.25">
      <c r="A4" s="6">
        <v>3</v>
      </c>
      <c r="B4" s="7" t="s">
        <v>38</v>
      </c>
    </row>
    <row r="5" spans="1:2" x14ac:dyDescent="0.25">
      <c r="A5" s="6">
        <v>4</v>
      </c>
      <c r="B5" s="7" t="s">
        <v>39</v>
      </c>
    </row>
    <row r="6" spans="1:2" x14ac:dyDescent="0.25">
      <c r="A6" s="6">
        <v>5</v>
      </c>
      <c r="B6" s="7" t="s">
        <v>40</v>
      </c>
    </row>
    <row r="7" spans="1:2" ht="19" x14ac:dyDescent="0.25">
      <c r="A7" s="6">
        <v>6</v>
      </c>
      <c r="B7" s="7" t="s">
        <v>41</v>
      </c>
    </row>
    <row r="8" spans="1:2" x14ac:dyDescent="0.25">
      <c r="A8" s="6">
        <v>7</v>
      </c>
      <c r="B8" s="7" t="s">
        <v>44</v>
      </c>
    </row>
    <row r="9" spans="1:2" ht="38" x14ac:dyDescent="0.25">
      <c r="A9" s="6">
        <v>8</v>
      </c>
      <c r="B9" s="7" t="s">
        <v>46</v>
      </c>
    </row>
    <row r="10" spans="1:2" x14ac:dyDescent="0.25">
      <c r="A10" s="6">
        <v>9</v>
      </c>
      <c r="B10" s="12" t="s">
        <v>48</v>
      </c>
    </row>
    <row r="11" spans="1:2" x14ac:dyDescent="0.25">
      <c r="A11" s="6">
        <v>10</v>
      </c>
      <c r="B11" s="7" t="s">
        <v>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Табл</vt:lpstr>
      <vt:lpstr>Огры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 Солодова</dc:creator>
  <cp:lastModifiedBy>Елизавета Солодова</cp:lastModifiedBy>
  <dcterms:created xsi:type="dcterms:W3CDTF">2015-06-05T18:19:34Z</dcterms:created>
  <dcterms:modified xsi:type="dcterms:W3CDTF">2026-09-15T04:53:48Z</dcterms:modified>
</cp:coreProperties>
</file>